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2" sheetId="1" r:id="rId4"/>
    <sheet state="visible" name="Sobre Investimentos" sheetId="2" r:id="rId5"/>
    <sheet state="visible" name="Metas de Vida" sheetId="3" r:id="rId6"/>
    <sheet state="visible" name="Pausa na Carreira" sheetId="4" r:id="rId7"/>
    <sheet state="visible" name="Planilha-apoio" sheetId="5" r:id="rId8"/>
  </sheets>
  <definedNames>
    <definedName name="sugestao_investimento">Planilha2!$C$15</definedName>
    <definedName name="qtd_anos">Planilha2!$C$20</definedName>
    <definedName name="patrimonio">Planilha2!$C$22</definedName>
    <definedName name="Rendimento_carteira">Planilha2!$C$14</definedName>
    <definedName name="salario">Planilha2!$C$13</definedName>
    <definedName name="aporte">Planilha2!$C$19</definedName>
    <definedName name="taxa_mensal">Planilha2!$C$21</definedName>
  </definedNames>
  <calcPr/>
  <extLst>
    <ext uri="GoogleSheetsCustomDataVersion2">
      <go:sheetsCustomData xmlns:go="http://customooxmlschemas.google.com/" r:id="rId9" roundtripDataChecksum="X9vSNfksZd55qzf/r270G12iJnmV98SDWIuh2W40Qm4="/>
    </ext>
  </extLst>
</workbook>
</file>

<file path=xl/sharedStrings.xml><?xml version="1.0" encoding="utf-8"?>
<sst xmlns="http://schemas.openxmlformats.org/spreadsheetml/2006/main" count="158" uniqueCount="118">
  <si>
    <t>Metas de Vida</t>
  </si>
  <si>
    <t>O que são investimentos?</t>
  </si>
  <si>
    <t>Escolha seus objetivos e descubra quanto guardar por mês para chegar lá. Troque os exemplos pelas suas metas: o resto calcula sozinho.</t>
  </si>
  <si>
    <t>Investir é colocar seu dinheiro para trabalhar por você, em
vez de deixá-lo parado. Em termos simples: você guarda uma
parte do que ganha e aplica em algo que tem potencial de gerar
retorno ao longo do tempo — seja um rendimento fixo, seja a
valorização de um bem ou negócio. É diferente de poupar:
poupar é guardar; investir é fazer esse valor crescer.</t>
  </si>
  <si>
    <t>Por que começar a investir?</t>
  </si>
  <si>
    <t>Como ler as cores</t>
  </si>
  <si>
    <t>Guardar dinheiro na poupança ou embaixo do colchão
praticamente não gera retorno real — a inflação corrói o poder
de compra ao longo dos anos. Investir, mesmo com valores
pequenos e de forma constante, é o que permite construir
patrimônio, ter uma reserva para imprevistos e, no futuro,
gerar uma renda extra ou complementar à aposentadoria.</t>
  </si>
  <si>
    <t>Motivos para investir</t>
  </si>
  <si>
    <t>Dados vindos da Planilha2</t>
  </si>
  <si>
    <t>• Proteger o seu dinheiro da inflação, que reduz o poder de
  compra ao longo do tempo.</t>
  </si>
  <si>
    <t>• Ter uma reserva para imprevistos, sem precisar recorrer a
  empréstimos ou ao cartão.</t>
  </si>
  <si>
    <t>• Fazer os juros compostos trabalharem por você: quanto mais
  cedo você começa, maior o efeito.</t>
  </si>
  <si>
    <t>• Criar uma renda extra, como os dividendos mensais dos fundos
  imobiliários.</t>
  </si>
  <si>
    <t>Lilás, letra azul: preencha você</t>
  </si>
  <si>
    <t>• Realizar objetivos: viagem, casa própria, estudos, negócio
  próprio.</t>
  </si>
  <si>
    <t>• Ter tranquilidade e liberdade de escolha no futuro,
  inclusive na aposentadoria.</t>
  </si>
  <si>
    <t>Independência financeira</t>
  </si>
  <si>
    <t>Independência financeira é ter liberdade para fazer as
próprias escolhas — trocar de emprego, estudar, empreender,
mudar de cidade ou sair de uma situação que não te faz bem —
sem depender de outra pessoa para se sustentar. Ela não exige
um salário alto: começa com o hábito de guardar e investir com
regularidade, mesmo com valores pequenos, e cresce com o
tempo. Uma reserva de emergência e uma renda que vem dos seus
investimentos, como os dividendos mensais dos FIIs, dão mais
segurança para decidir com calma e não por necessidade.</t>
  </si>
  <si>
    <t>Investir e viajar</t>
  </si>
  <si>
    <t>Viajar também é um objetivo financeiro. Em vez de parcelar a
passagem no cartão e pagar juros, você pode se planejar:
escolher o destino, estimar o custo, definir o prazo e guardar
um valor por mês, deixando o rendimento trabalhar a seu favor.
Na aba "Metas de Vida" você descobre quanto precisa guardar
todo mês para a viagem dos sonhos, seja um fim de semana na
praia ou uma volta ao mundo. E, no longo prazo, os dividendos
dos seus investimentos podem ajudar a pagar parte dessas
viagens.</t>
  </si>
  <si>
    <t>Tipos comuns de investimento</t>
  </si>
  <si>
    <t>• Renda Fixa (Tesouro Direto, CDB, LCI/LCA)</t>
  </si>
  <si>
    <t>Rendimento mensal</t>
  </si>
  <si>
    <t>Você empresta dinheiro a um banco ou ao governo e recebe de
volta com juros. Mais previsível e indicado para quem está
começando.</t>
  </si>
  <si>
    <t>• Ações</t>
  </si>
  <si>
    <t>Pequenas partes de empresas negociadas na bolsa. Podem gerar
bons retornos, mas com mais oscilação (risco maior).</t>
  </si>
  <si>
    <t>• Fundos Imobiliários (FIIs)</t>
  </si>
  <si>
    <t>Fundos que investem em imóveis ou papéis do setor imobiliário.
Costumam pagar dividendos mensais e são o foco desta planilha.</t>
  </si>
  <si>
    <t>• Fundos de Investimento</t>
  </si>
  <si>
    <t>Um gestor profissional aplica o dinheiro de vários
investidores em conjunto, seguindo uma estratégia definida.</t>
  </si>
  <si>
    <t>Sobre os FIIs (foco desta planilha)</t>
  </si>
  <si>
    <t>Fundos Imobiliários são divididos por estratégia: Papel
(títulos ligados a imóveis), Tijolo (imóveis físicos, como
galpões e shoppings), Híbridos (mistura das duas), FoFs
(fundos que investem em outros fundos) e Desenvolvimento
(construção de novos empreendimentos). Use a aba de
configurações para simular quanto investir por mês e ver a
projeção do seu patrimônio e dos dividendos ao longo dos anos.</t>
  </si>
  <si>
    <t>Neste arquivo você encontra</t>
  </si>
  <si>
    <t>• Planilha2: simulador de investimento mensal, cenários de 2 a
  30 anos e sugestão de FIIs por perfil.</t>
  </si>
  <si>
    <t>• Metas de Vida: quanto guardar por mês para cada objetivo
  (viagem, casa, negócio, aposentadoria).</t>
  </si>
  <si>
    <t>• Pausa na Carreira: quanto uma pausa nos aportes afeta o
  patrimônio e como recuperar o tempo.</t>
  </si>
  <si>
    <t>Aviso: este material é educativo e não constitui recomendação de investimento.</t>
  </si>
  <si>
    <t>Letra verde: vem da aba Planilha2</t>
  </si>
  <si>
    <t>Salário</t>
  </si>
  <si>
    <t>Letra preta: cálculo automático</t>
  </si>
  <si>
    <t>Sugestão de investimento (30%)</t>
  </si>
  <si>
    <t>Minha meta</t>
  </si>
  <si>
    <t>Valor que quero juntar</t>
  </si>
  <si>
    <t>Em quantos anos?</t>
  </si>
  <si>
    <t>Quanto guardar por mês</t>
  </si>
  <si>
    <t>Quanto sai do meu bolso</t>
  </si>
  <si>
    <t>Rendimento estimado</t>
  </si>
  <si>
    <t>% do salário</t>
  </si>
  <si>
    <t>Viagem dos sonhos</t>
  </si>
  <si>
    <t>CHAVE</t>
  </si>
  <si>
    <t>PERFIL</t>
  </si>
  <si>
    <t>TIPO DE FII</t>
  </si>
  <si>
    <t>%</t>
  </si>
  <si>
    <t>Conservador</t>
  </si>
  <si>
    <t>PAPEL</t>
  </si>
  <si>
    <t>Moderado-TIJOLO</t>
  </si>
  <si>
    <t>CONFIGURAÇÕES</t>
  </si>
  <si>
    <t>Reserva de emergência</t>
  </si>
  <si>
    <t>Pausa na Carreira</t>
  </si>
  <si>
    <t>Entrada da casa própria</t>
  </si>
  <si>
    <t>Maternidade, cuidado com a família, mudança de emprego: a vida muda e às vezes o aporte precisa parar ou diminuir. Veja quanto uma pausa pesa no futuro e como recomeçar.</t>
  </si>
  <si>
    <t>Rendimento Carteira</t>
  </si>
  <si>
    <t>Preencha (lilás, letra azul)</t>
  </si>
  <si>
    <t>Quanto invisto por mês hoje (R$)</t>
  </si>
  <si>
    <t>Sugestão de Investimento (30%)</t>
  </si>
  <si>
    <t>Meu negócio</t>
  </si>
  <si>
    <t>Horizonte total (anos)</t>
  </si>
  <si>
    <t>Aposentadoria tranquila</t>
  </si>
  <si>
    <t>TIJOLO</t>
  </si>
  <si>
    <t>Depois de quantos anos começa a pausa?</t>
  </si>
  <si>
    <t>HIBRIDOS</t>
  </si>
  <si>
    <t>Duração da pausa (meses)</t>
  </si>
  <si>
    <t>Quanto invisto por mês ao retomar (R$)</t>
  </si>
  <si>
    <t>FOFs</t>
  </si>
  <si>
    <t>Rendimento mensal (da Planilha2)</t>
  </si>
  <si>
    <t>DESENVOLVIMENTO</t>
  </si>
  <si>
    <t>INVESTIMENTO MENSAL</t>
  </si>
  <si>
    <t>HOTELARIAS</t>
  </si>
  <si>
    <t>Moderado</t>
  </si>
  <si>
    <t>Quanto investir por mês?</t>
  </si>
  <si>
    <t>Cálculo auxiliar (meses)</t>
  </si>
  <si>
    <t>Meses investindo antes da pausa</t>
  </si>
  <si>
    <t>TOTAL POR MÊS</t>
  </si>
  <si>
    <t>Por quantos anos?</t>
  </si>
  <si>
    <t>Agressivo</t>
  </si>
  <si>
    <t>Taxa Rendimento mensal?</t>
  </si>
  <si>
    <t>Meses de pausa</t>
  </si>
  <si>
    <t>Patrimônio acumulado?</t>
  </si>
  <si>
    <t>Meses investindo depois da pausa</t>
  </si>
  <si>
    <t>Cabe na sugestão de 30% do salário?</t>
  </si>
  <si>
    <t>Observações e premissas</t>
  </si>
  <si>
    <t>• As linhas de exemplo (viagem, reserva, casa, negócio e aposentadoria) são valores fictícios: troque pelos seus.</t>
  </si>
  <si>
    <t>Dividendos Mensais?</t>
  </si>
  <si>
    <t>• O rendimento mensal vem da aba Planilha2 (célula C21). Se você mudar lá, tudo aqui se atualiza.</t>
  </si>
  <si>
    <t>• O cálculo considera aportes no fim de cada mês e rendimento constante, a mesma lógica da função FV usada na Planilha2.</t>
  </si>
  <si>
    <t>• É uma projeção educativa: rendimentos reais variam e não há garantia de retorno.</t>
  </si>
  <si>
    <t>Cenário</t>
  </si>
  <si>
    <t>Cenários</t>
  </si>
  <si>
    <t>Patrimônio final</t>
  </si>
  <si>
    <t>Dividendo</t>
  </si>
  <si>
    <t>Total que saiu do bolso</t>
  </si>
  <si>
    <t>Diferença para o cenário sem pausa</t>
  </si>
  <si>
    <t>A) Sem pausa</t>
  </si>
  <si>
    <t>Quanto teria em 2 anos?</t>
  </si>
  <si>
    <t>B) Pausa e volto com o mesmo valor</t>
  </si>
  <si>
    <t>Quanto teria em 5 anos?</t>
  </si>
  <si>
    <t>Quanto teria em 10 anos?</t>
  </si>
  <si>
    <t>C) Pausa e volto com o valor menor</t>
  </si>
  <si>
    <t>Quanto teria em 20 anos?</t>
  </si>
  <si>
    <t>Para recuperar: quanto guardar por mês ao retomar</t>
  </si>
  <si>
    <t>Quanto teria em 30 anos?</t>
  </si>
  <si>
    <t>Isso é quanto a mais por mês, comparado a hoje</t>
  </si>
  <si>
    <t>VALOR A SER INVESTIDO POR MÊS</t>
  </si>
  <si>
    <t>• Os números preenchidos (R$ 500, 20 anos, pausa de 24 meses após 5 anos, retomada com R$ 250) são um exemplo fictício: troque pelos seus.</t>
  </si>
  <si>
    <t>• O rendimento mensal vem da aba Planilha2 (célula C21). Durante a pausa, o patrimônio já acumulado continua rendendo.</t>
  </si>
  <si>
    <t>• Aportes considerados no fim de cada mês, mesma lógica da função FV usada na Planilha2.</t>
  </si>
  <si>
    <t>Percentual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</si>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</sst>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&quot;R$ &quot;#,##0.00"/>
    <numFmt numFmtId="166" formatCode="0.0%"/>
    <numFmt numFmtId="167" formatCode="&quot;R$ &quot;#,##0.00;[Red]&quot;-R$ &quot;#,##0.00"/>
  </numFmts>
  <fonts count="27">
    <font>
      <sz val="11.0"/>
      <color theme="1"/>
      <name val="Aptos Narrow"/>
      <scheme val="minor"/>
    </font>
    <font>
      <b/>
      <sz val="22.0"/>
      <color rgb="FF5E1782"/>
      <name val="Aptos Narrow"/>
    </font>
    <font>
      <sz val="12.0"/>
      <color rgb="FF333333"/>
      <name val="Aptos Narrow"/>
    </font>
    <font>
      <b/>
      <sz val="14.0"/>
      <color rgb="FF5E1782"/>
      <name val="Aptos Narrow"/>
    </font>
    <font>
      <b/>
      <sz val="11.0"/>
      <color rgb="FF5E1782"/>
      <name val="Aptos Narrow"/>
    </font>
    <font>
      <sz val="11.0"/>
      <color rgb="FF0000FF"/>
      <name val="Aptos Narrow"/>
    </font>
    <font>
      <b/>
      <sz val="12.0"/>
      <color rgb="FF5E1782"/>
      <name val="Aptos Narrow"/>
    </font>
    <font>
      <sz val="11.0"/>
      <color rgb="FF333333"/>
      <name val="Aptos Narrow"/>
    </font>
    <font>
      <i/>
      <sz val="10.0"/>
      <color rgb="FF777777"/>
      <name val="Aptos Narrow"/>
    </font>
    <font>
      <sz val="11.0"/>
      <color rgb="FF008000"/>
      <name val="Aptos Narrow"/>
    </font>
    <font>
      <sz val="11.0"/>
      <color rgb="FF000000"/>
      <name val="Aptos Narrow"/>
    </font>
    <font>
      <b/>
      <sz val="11.0"/>
      <color rgb="FFFFFFFF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5E1782"/>
      <name val="Aptos Narrow"/>
    </font>
    <font>
      <b/>
      <sz val="18.0"/>
      <color theme="0"/>
      <name val="Aptos Narrow"/>
    </font>
    <font>
      <sz val="20.0"/>
      <color theme="0"/>
      <name val="Aptos Narrow"/>
    </font>
    <font>
      <sz val="10.0"/>
      <color rgb="FF000000"/>
      <name val="Arial"/>
    </font>
    <font>
      <b/>
      <sz val="10.0"/>
      <color theme="1"/>
      <name val="Aptos Narrow"/>
    </font>
    <font>
      <sz val="11.0"/>
      <color theme="1"/>
      <name val="Arial"/>
    </font>
    <font>
      <b/>
      <sz val="11.0"/>
      <color rgb="FF000000"/>
      <name val="Aptos Narrow"/>
    </font>
    <font>
      <b/>
      <sz val="10.0"/>
      <color rgb="FF000000"/>
      <name val="Arial"/>
    </font>
    <font>
      <i/>
      <sz val="10.0"/>
      <color rgb="FF666666"/>
      <name val="Aptos Narrow"/>
    </font>
    <font>
      <b/>
      <sz val="11.0"/>
      <color rgb="FFC00000"/>
      <name val="Aptos Narrow"/>
    </font>
    <font>
      <b/>
      <sz val="12.0"/>
      <color theme="0"/>
      <name val="Aptos Narrow"/>
    </font>
    <font>
      <sz val="11.0"/>
      <color theme="0"/>
      <name val="Aptos Narrow"/>
    </font>
    <font>
      <b/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E9D5FF"/>
        <bgColor rgb="FFE9D5FF"/>
      </patternFill>
    </fill>
    <fill>
      <patternFill patternType="solid">
        <fgColor rgb="FF5E1782"/>
        <bgColor rgb="FF5E1782"/>
      </patternFill>
    </fill>
    <fill>
      <patternFill patternType="solid">
        <fgColor rgb="FFF3E8FF"/>
        <bgColor rgb="FFF3E8FF"/>
      </patternFill>
    </fill>
    <fill>
      <patternFill patternType="solid">
        <fgColor rgb="FF7B2CBF"/>
        <bgColor rgb="FF7B2CBF"/>
      </patternFill>
    </fill>
    <fill>
      <patternFill patternType="solid">
        <fgColor theme="0"/>
        <bgColor theme="0"/>
      </patternFill>
    </fill>
    <fill>
      <patternFill patternType="solid">
        <fgColor rgb="FFD8B4FE"/>
        <bgColor rgb="FFD8B4FE"/>
      </patternFill>
    </fill>
  </fills>
  <borders count="5">
    <border/>
    <border>
      <left/>
      <right/>
      <top/>
      <bottom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164" xfId="0" applyFont="1" applyNumberFormat="1"/>
    <xf borderId="0" fillId="0" fontId="9" numFmtId="0" xfId="0" applyFont="1"/>
    <xf borderId="0" fillId="0" fontId="9" numFmtId="165" xfId="0" applyFont="1" applyNumberFormat="1"/>
    <xf borderId="0" fillId="0" fontId="10" numFmtId="0" xfId="0" applyFont="1"/>
    <xf borderId="2" fillId="3" fontId="11" numFmtId="0" xfId="0" applyAlignment="1" applyBorder="1" applyFill="1" applyFont="1">
      <alignment horizontal="center" shrinkToFit="0" vertical="center" wrapText="1"/>
    </xf>
    <xf borderId="2" fillId="2" fontId="5" numFmtId="0" xfId="0" applyBorder="1" applyFill="1" applyFont="1"/>
    <xf borderId="2" fillId="2" fontId="5" numFmtId="165" xfId="0" applyBorder="1" applyFill="1" applyFont="1" applyNumberFormat="1"/>
    <xf borderId="2" fillId="2" fontId="5" numFmtId="0" xfId="0" applyAlignment="1" applyBorder="1" applyFill="1" applyFon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2" fillId="4" fontId="10" numFmtId="165" xfId="0" applyBorder="1" applyFill="1" applyFont="1" applyNumberFormat="1"/>
    <xf borderId="0" fillId="0" fontId="13" numFmtId="9" xfId="0" applyAlignment="1" applyFont="1" applyNumberFormat="1">
      <alignment horizontal="center"/>
    </xf>
    <xf borderId="1" fillId="2" fontId="14" numFmtId="0" xfId="0" applyBorder="1" applyFill="1" applyFont="1"/>
    <xf borderId="3" fillId="5" fontId="15" numFmtId="0" xfId="0" applyAlignment="1" applyBorder="1" applyFill="1" applyFont="1">
      <alignment horizontal="center"/>
    </xf>
    <xf borderId="2" fillId="4" fontId="10" numFmtId="166" xfId="0" applyBorder="1" applyFill="1" applyFont="1" applyNumberFormat="1"/>
    <xf borderId="3" fillId="5" fontId="13" numFmtId="0" xfId="0" applyAlignment="1" applyBorder="1" applyFill="1" applyFont="1">
      <alignment horizontal="center"/>
    </xf>
    <xf borderId="3" fillId="4" fontId="13" numFmtId="0" xfId="0" applyBorder="1" applyFill="1" applyFont="1"/>
    <xf borderId="3" fillId="0" fontId="13" numFmtId="165" xfId="0" applyAlignment="1" applyBorder="1" applyFont="1" applyNumberFormat="1">
      <alignment horizontal="center"/>
    </xf>
    <xf borderId="3" fillId="0" fontId="13" numFmtId="10" xfId="0" applyAlignment="1" applyBorder="1" applyFont="1" applyNumberFormat="1">
      <alignment horizontal="center"/>
    </xf>
    <xf borderId="1" fillId="2" fontId="14" numFmtId="9" xfId="0" applyBorder="1" applyFill="1" applyFont="1" applyNumberFormat="1"/>
    <xf borderId="2" fillId="2" fontId="5" numFmtId="1" xfId="0" applyBorder="1" applyFill="1" applyFont="1" applyNumberFormat="1"/>
    <xf borderId="4" fillId="0" fontId="13" numFmtId="0" xfId="0" applyBorder="1" applyFont="1"/>
    <xf borderId="3" fillId="3" fontId="16" numFmtId="0" xfId="0" applyAlignment="1" applyBorder="1" applyFill="1" applyFont="1">
      <alignment horizontal="left"/>
    </xf>
    <xf borderId="4" fillId="0" fontId="13" numFmtId="0" xfId="0" applyAlignment="1" applyBorder="1" applyFont="1">
      <alignment horizontal="center"/>
    </xf>
    <xf borderId="4" fillId="0" fontId="13" numFmtId="9" xfId="0" applyAlignment="1" applyBorder="1" applyFont="1" applyNumberFormat="1">
      <alignment horizontal="center"/>
    </xf>
    <xf borderId="3" fillId="3" fontId="16" numFmtId="0" xfId="0" applyAlignment="1" applyBorder="1" applyFill="1" applyFont="1">
      <alignment horizontal="center"/>
    </xf>
    <xf borderId="2" fillId="0" fontId="9" numFmtId="164" xfId="0" applyBorder="1" applyFont="1" applyNumberFormat="1"/>
    <xf borderId="3" fillId="0" fontId="17" numFmtId="0" xfId="0" applyBorder="1" applyFont="1"/>
    <xf borderId="3" fillId="0" fontId="18" numFmtId="165" xfId="0" applyAlignment="1" applyBorder="1" applyFont="1" applyNumberFormat="1">
      <alignment horizontal="center"/>
    </xf>
    <xf borderId="0" fillId="0" fontId="19" numFmtId="9" xfId="0" applyAlignment="1" applyFont="1" applyNumberFormat="1">
      <alignment horizontal="center" readingOrder="0"/>
    </xf>
    <xf borderId="3" fillId="0" fontId="18" numFmtId="0" xfId="0" applyAlignment="1" applyBorder="1" applyFont="1">
      <alignment horizontal="center"/>
    </xf>
    <xf borderId="3" fillId="6" fontId="17" numFmtId="0" xfId="0" applyAlignment="1" applyBorder="1" applyFill="1" applyFont="1">
      <alignment vertical="center"/>
    </xf>
    <xf borderId="2" fillId="0" fontId="10" numFmtId="1" xfId="0" applyBorder="1" applyFont="1" applyNumberFormat="1"/>
    <xf borderId="2" fillId="7" fontId="20" numFmtId="165" xfId="0" applyBorder="1" applyFill="1" applyFont="1" applyNumberFormat="1"/>
    <xf borderId="3" fillId="6" fontId="18" numFmtId="10" xfId="0" applyAlignment="1" applyBorder="1" applyFill="1" applyFont="1" applyNumberFormat="1">
      <alignment horizontal="center"/>
    </xf>
    <xf borderId="3" fillId="4" fontId="21" numFmtId="0" xfId="0" applyAlignment="1" applyBorder="1" applyFill="1" applyFont="1">
      <alignment vertical="center"/>
    </xf>
    <xf borderId="2" fillId="7" fontId="20" numFmtId="166" xfId="0" applyBorder="1" applyFill="1" applyFont="1" applyNumberFormat="1"/>
    <xf borderId="3" fillId="4" fontId="18" numFmtId="167" xfId="0" applyAlignment="1" applyBorder="1" applyFill="1" applyFont="1" applyNumberFormat="1">
      <alignment horizontal="center"/>
    </xf>
    <xf borderId="0" fillId="0" fontId="22" numFmtId="0" xfId="0" applyAlignment="1" applyFont="1">
      <alignment shrinkToFit="0" vertical="top" wrapText="1"/>
    </xf>
    <xf borderId="0" fillId="0" fontId="23" numFmtId="0" xfId="0" applyFont="1"/>
    <xf borderId="3" fillId="3" fontId="24" numFmtId="0" xfId="0" applyAlignment="1" applyBorder="1" applyFill="1" applyFont="1">
      <alignment horizontal="right"/>
    </xf>
    <xf borderId="1" fillId="6" fontId="25" numFmtId="0" xfId="0" applyBorder="1" applyFill="1" applyFont="1"/>
    <xf borderId="2" fillId="0" fontId="7" numFmtId="0" xfId="0" applyBorder="1" applyFont="1"/>
    <xf borderId="2" fillId="4" fontId="10" numFmtId="167" xfId="0" applyBorder="1" applyFill="1" applyFont="1" applyNumberFormat="1"/>
    <xf borderId="3" fillId="4" fontId="13" numFmtId="167" xfId="0" applyAlignment="1" applyBorder="1" applyFill="1" applyFont="1" applyNumberFormat="1">
      <alignment horizontal="center"/>
    </xf>
    <xf borderId="2" fillId="7" fontId="20" numFmtId="167" xfId="0" applyBorder="1" applyFill="1" applyFont="1" applyNumberFormat="1"/>
    <xf borderId="1" fillId="2" fontId="14" numFmtId="0" xfId="0" applyAlignment="1" applyBorder="1" applyFill="1" applyFont="1">
      <alignment horizontal="center"/>
    </xf>
    <xf borderId="1" fillId="4" fontId="13" numFmtId="0" xfId="0" applyBorder="1" applyFill="1" applyFont="1"/>
    <xf borderId="1" fillId="4" fontId="26" numFmtId="165" xfId="0" applyAlignment="1" applyBorder="1" applyFill="1" applyFont="1" applyNumberFormat="1">
      <alignment horizontal="center"/>
    </xf>
    <xf borderId="1" fillId="7" fontId="26" numFmtId="0" xfId="0" applyAlignment="1" applyBorder="1" applyFill="1" applyFont="1">
      <alignment horizontal="center"/>
    </xf>
    <xf borderId="1" fillId="4" fontId="13" numFmtId="165" xfId="0" applyAlignment="1" applyBorder="1" applyFill="1" applyFont="1" applyNumberFormat="1">
      <alignment horizontal="center"/>
    </xf>
    <xf borderId="1" fillId="7" fontId="13" numFmtId="0" xfId="0" applyBorder="1" applyFill="1" applyFont="1"/>
    <xf borderId="1" fillId="7" fontId="26" numFmtId="165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Patrimônio final em cada cenário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Patrimônio final</c:v>
          </c:tx>
          <c:spPr>
            <a:solidFill>
              <a:srgbClr val="7B2CBF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5E1782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C77DFF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A855F7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'Pausa na Carreira'!$B$20:$B$22</c:f>
            </c:strRef>
          </c:cat>
          <c:val>
            <c:numRef>
              <c:f>'Pausa na Carreira'!$C$20:$C$22</c:f>
              <c:numCache/>
            </c:numRef>
          </c:val>
        </c:ser>
        <c:axId val="1527484848"/>
        <c:axId val="1178039083"/>
      </c:barChart>
      <c:catAx>
        <c:axId val="152748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78039083"/>
      </c:catAx>
      <c:valAx>
        <c:axId val="11780390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527484848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44</xdr:row>
      <xdr:rowOff>38100</xdr:rowOff>
    </xdr:from>
    <xdr:ext cx="6810375" cy="2867025"/>
    <xdr:graphicFrame>
      <xdr:nvGraphicFramePr>
        <xdr:cNvPr id="19332672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142875</xdr:colOff>
      <xdr:row>0</xdr:row>
      <xdr:rowOff>95250</xdr:rowOff>
    </xdr:from>
    <xdr:ext cx="7753350" cy="1838325"/>
    <xdr:pic>
      <xdr:nvPicPr>
        <xdr:cNvPr descr="Picture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45</xdr:row>
      <xdr:rowOff>0</xdr:rowOff>
    </xdr:from>
    <xdr:ext cx="4371975" cy="274320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26</xdr:row>
      <xdr:rowOff>0</xdr:rowOff>
    </xdr:from>
    <xdr:ext cx="5810250" cy="3019425"/>
    <xdr:graphicFrame>
      <xdr:nvGraphicFramePr>
        <xdr:cNvPr id="91502615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7.13"/>
    <col customWidth="1" min="3" max="3" width="39.13"/>
    <col customWidth="1" min="4" max="4" width="14.38"/>
    <col customWidth="1" min="5" max="6" width="7.75"/>
    <col customWidth="1" min="7" max="26" width="8.63"/>
  </cols>
  <sheetData>
    <row r="11" ht="15.75" customHeight="1"/>
    <row r="12" ht="24.75" customHeight="1">
      <c r="B12" s="22" t="s">
        <v>56</v>
      </c>
      <c r="C12" s="24"/>
    </row>
    <row r="13" ht="15.75" customHeight="1">
      <c r="B13" s="25" t="s">
        <v>38</v>
      </c>
      <c r="C13" s="26">
        <v>5000.0</v>
      </c>
    </row>
    <row r="14" ht="15.75" customHeight="1">
      <c r="B14" s="25" t="s">
        <v>61</v>
      </c>
      <c r="C14" s="27">
        <v>0.006</v>
      </c>
    </row>
    <row r="15" ht="15.75" customHeight="1">
      <c r="B15" s="25" t="s">
        <v>64</v>
      </c>
      <c r="C15" s="26">
        <f>C13*30%</f>
        <v>1500</v>
      </c>
    </row>
    <row r="17" ht="7.5" customHeight="1"/>
    <row r="18" ht="26.25" customHeight="1">
      <c r="B18" s="31" t="s">
        <v>76</v>
      </c>
      <c r="C18" s="34"/>
    </row>
    <row r="19" ht="15.75" customHeight="1">
      <c r="B19" s="36" t="s">
        <v>79</v>
      </c>
      <c r="C19" s="37">
        <v>1200.0</v>
      </c>
    </row>
    <row r="20" ht="15.75" customHeight="1">
      <c r="B20" s="36" t="s">
        <v>83</v>
      </c>
      <c r="C20" s="39">
        <v>10.0</v>
      </c>
    </row>
    <row r="21" ht="15.75" customHeight="1">
      <c r="B21" s="40" t="s">
        <v>85</v>
      </c>
      <c r="C21" s="43">
        <v>0.01079</v>
      </c>
    </row>
    <row r="22" ht="15.75" customHeight="1">
      <c r="B22" s="44" t="s">
        <v>87</v>
      </c>
      <c r="C22" s="46">
        <f>FV(taxa_mensal,qtd_anos*12,aporte*-1)</f>
        <v>291941.055</v>
      </c>
    </row>
    <row r="23" ht="15.75" customHeight="1">
      <c r="B23" s="44" t="s">
        <v>92</v>
      </c>
      <c r="C23" s="46">
        <f>patrimonio*Rendimento_carteira</f>
        <v>1751.64633</v>
      </c>
    </row>
    <row r="24" ht="15.75" customHeight="1"/>
    <row r="25" ht="27.0" customHeight="1">
      <c r="B25" s="34" t="s">
        <v>97</v>
      </c>
      <c r="C25" s="34"/>
      <c r="D25" s="49" t="s">
        <v>99</v>
      </c>
    </row>
    <row r="26" ht="15.75" customHeight="1">
      <c r="A26" s="50">
        <v>2.0</v>
      </c>
      <c r="B26" s="25" t="s">
        <v>103</v>
      </c>
      <c r="C26" s="53">
        <f>FV($C$21,$A26*12,$C$19*-1)</f>
        <v>32673.15276</v>
      </c>
      <c r="D26" s="53">
        <f>C26*Rendimento_carteira</f>
        <v>196.0389165</v>
      </c>
    </row>
    <row r="27" ht="15.75" customHeight="1">
      <c r="A27" s="50">
        <v>5.0</v>
      </c>
      <c r="B27" s="25" t="s">
        <v>105</v>
      </c>
      <c r="C27" s="53">
        <f>FV($C$21,A$27*12,$C$19*-1)</f>
        <v>100532.2968</v>
      </c>
      <c r="D27" s="53">
        <f>C27*Rendimento_carteira</f>
        <v>603.1937808</v>
      </c>
    </row>
    <row r="28" ht="15.75" customHeight="1">
      <c r="A28" s="50">
        <v>10.0</v>
      </c>
      <c r="B28" s="25" t="s">
        <v>106</v>
      </c>
      <c r="C28" s="53">
        <f>FV($C$21,A$28*12,$C$19*-1)</f>
        <v>291941.055</v>
      </c>
      <c r="D28" s="53">
        <f>C28*Rendimento_carteira</f>
        <v>1751.64633</v>
      </c>
    </row>
    <row r="29" ht="15.75" customHeight="1">
      <c r="A29" s="50">
        <v>20.0</v>
      </c>
      <c r="B29" s="25" t="s">
        <v>108</v>
      </c>
      <c r="C29" s="53">
        <f>FV($C$21,$A$29*12,$C$19*-1)</f>
        <v>1350238.08</v>
      </c>
      <c r="D29" s="53">
        <f>C29*Rendimento_carteira</f>
        <v>8101.428481</v>
      </c>
    </row>
    <row r="30" ht="15.75" customHeight="1">
      <c r="A30" s="50">
        <v>30.0</v>
      </c>
      <c r="B30" s="25" t="s">
        <v>110</v>
      </c>
      <c r="C30" s="53">
        <f>FV($C$21,$A$30*12,$C$19*-1)</f>
        <v>5186603.586</v>
      </c>
      <c r="D30" s="53">
        <f>C30*Rendimento_carteira</f>
        <v>31119.62152</v>
      </c>
    </row>
    <row r="31" ht="15.75" customHeight="1"/>
    <row r="32" ht="15.75" customHeight="1">
      <c r="B32" s="21" t="s">
        <v>50</v>
      </c>
      <c r="C32" s="55" t="s">
        <v>53</v>
      </c>
      <c r="D32" s="21"/>
    </row>
    <row r="33" ht="15.75" customHeight="1">
      <c r="B33" s="56" t="s">
        <v>112</v>
      </c>
      <c r="C33" s="57">
        <v>250.0</v>
      </c>
      <c r="D33" s="56"/>
    </row>
    <row r="34" ht="15.75" customHeight="1"/>
    <row r="35" ht="15.75" customHeight="1">
      <c r="B35" s="58" t="s">
        <v>51</v>
      </c>
      <c r="C35" s="58" t="s">
        <v>116</v>
      </c>
      <c r="D35" s="58" t="s">
        <v>117</v>
      </c>
    </row>
    <row r="36" ht="15.75" customHeight="1">
      <c r="B36" s="18" t="s">
        <v>54</v>
      </c>
      <c r="C36" s="20">
        <f>VLOOKUP($C$32&amp;"-"&amp;B36,'Planilha-apoio'!$A:$D,4,)</f>
        <v>0.3</v>
      </c>
      <c r="D36" s="59">
        <f t="shared" ref="D36:D42" si="1">C36*$C$33</f>
        <v>75</v>
      </c>
    </row>
    <row r="37" ht="15.75" customHeight="1">
      <c r="B37" s="18" t="s">
        <v>68</v>
      </c>
      <c r="C37" s="20">
        <f>VLOOKUP($C$32&amp;"-"&amp;B37,'Planilha-apoio'!$A:$D,4,)</f>
        <v>0.5</v>
      </c>
      <c r="D37" s="59">
        <f t="shared" si="1"/>
        <v>125</v>
      </c>
    </row>
    <row r="38" ht="15.75" customHeight="1">
      <c r="B38" s="18" t="s">
        <v>70</v>
      </c>
      <c r="C38" s="20">
        <f>VLOOKUP($C$32&amp;"-"&amp;B38,'Planilha-apoio'!$A:$D,4,)</f>
        <v>0.1</v>
      </c>
      <c r="D38" s="59">
        <f t="shared" si="1"/>
        <v>25</v>
      </c>
    </row>
    <row r="39" ht="15.75" customHeight="1">
      <c r="B39" s="18" t="s">
        <v>73</v>
      </c>
      <c r="C39" s="20">
        <f>VLOOKUP($C$32&amp;"-"&amp;B39,'Planilha-apoio'!$A:$D,4,)</f>
        <v>0.1</v>
      </c>
      <c r="D39" s="59">
        <f t="shared" si="1"/>
        <v>25</v>
      </c>
    </row>
    <row r="40" ht="15.75" customHeight="1">
      <c r="B40" s="18" t="s">
        <v>75</v>
      </c>
      <c r="C40" s="20">
        <f>VLOOKUP($C$32&amp;"-"&amp;B40,'Planilha-apoio'!$A:$D,4,)</f>
        <v>0</v>
      </c>
      <c r="D40" s="59">
        <f t="shared" si="1"/>
        <v>0</v>
      </c>
    </row>
    <row r="41" ht="15.75" customHeight="1">
      <c r="B41" s="18" t="s">
        <v>77</v>
      </c>
      <c r="C41" s="20">
        <f>VLOOKUP($C$32&amp;"-"&amp;B41,'Planilha-apoio'!$A:$D,4,)</f>
        <v>0</v>
      </c>
      <c r="D41" s="59">
        <f t="shared" si="1"/>
        <v>0</v>
      </c>
    </row>
    <row r="42" ht="15.75" customHeight="1">
      <c r="B42" s="60"/>
      <c r="C42" s="60"/>
      <c r="D42" s="61">
        <f t="shared" si="1"/>
        <v>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2">
      <formula1>"Conservador,Moderado,Agressivo"</formula1>
    </dataValidation>
  </dataValidations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E1782"/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68.0"/>
    <col customWidth="1" min="3" max="3" width="3.0"/>
    <col customWidth="1" min="4" max="26" width="8.63"/>
  </cols>
  <sheetData>
    <row r="2" ht="30.0" customHeight="1">
      <c r="B2" s="1" t="s">
        <v>1</v>
      </c>
    </row>
    <row r="4" ht="99.75" customHeight="1">
      <c r="B4" s="2" t="s">
        <v>3</v>
      </c>
    </row>
    <row r="6" ht="21.75" customHeight="1">
      <c r="B6" s="3" t="s">
        <v>4</v>
      </c>
    </row>
    <row r="7" ht="99.75" customHeight="1">
      <c r="B7" s="2" t="s">
        <v>6</v>
      </c>
    </row>
    <row r="9" ht="21.75" customHeight="1">
      <c r="B9" s="3" t="s">
        <v>7</v>
      </c>
    </row>
    <row r="10" ht="36.0" customHeight="1">
      <c r="B10" s="2" t="s">
        <v>9</v>
      </c>
    </row>
    <row r="11" ht="36.0" customHeight="1">
      <c r="B11" s="2" t="s">
        <v>10</v>
      </c>
    </row>
    <row r="12" ht="36.0" customHeight="1">
      <c r="B12" s="2" t="s">
        <v>11</v>
      </c>
    </row>
    <row r="13" ht="36.0" customHeight="1">
      <c r="B13" s="2" t="s">
        <v>12</v>
      </c>
    </row>
    <row r="14" ht="36.0" customHeight="1">
      <c r="B14" s="2" t="s">
        <v>14</v>
      </c>
    </row>
    <row r="15" ht="36.0" customHeight="1">
      <c r="B15" s="2" t="s">
        <v>15</v>
      </c>
    </row>
    <row r="17" ht="21.75" customHeight="1">
      <c r="B17" s="3" t="s">
        <v>16</v>
      </c>
    </row>
    <row r="18" ht="147.75" customHeight="1">
      <c r="B18" s="2" t="s">
        <v>17</v>
      </c>
    </row>
    <row r="20" ht="21.75" customHeight="1">
      <c r="B20" s="3" t="s">
        <v>18</v>
      </c>
    </row>
    <row r="21" ht="147.75" customHeight="1">
      <c r="B21" s="2" t="s">
        <v>19</v>
      </c>
    </row>
    <row r="22" ht="15.75" customHeight="1"/>
    <row r="23" ht="21.75" customHeight="1">
      <c r="B23" s="3" t="s">
        <v>20</v>
      </c>
    </row>
    <row r="24" ht="18.0" customHeight="1">
      <c r="B24" s="6" t="s">
        <v>21</v>
      </c>
    </row>
    <row r="25" ht="51.75" customHeight="1">
      <c r="B25" s="2" t="s">
        <v>23</v>
      </c>
    </row>
    <row r="26" ht="15.75" customHeight="1"/>
    <row r="27" ht="18.0" customHeight="1">
      <c r="B27" s="6" t="s">
        <v>24</v>
      </c>
    </row>
    <row r="28" ht="36.0" customHeight="1">
      <c r="B28" s="2" t="s">
        <v>25</v>
      </c>
    </row>
    <row r="29" ht="15.75" customHeight="1"/>
    <row r="30" ht="18.0" customHeight="1">
      <c r="B30" s="6" t="s">
        <v>26</v>
      </c>
    </row>
    <row r="31" ht="36.0" customHeight="1">
      <c r="B31" s="2" t="s">
        <v>27</v>
      </c>
    </row>
    <row r="32" ht="15.75" customHeight="1"/>
    <row r="33" ht="18.0" customHeight="1">
      <c r="B33" s="6" t="s">
        <v>28</v>
      </c>
    </row>
    <row r="34" ht="36.0" customHeight="1">
      <c r="B34" s="2" t="s">
        <v>29</v>
      </c>
    </row>
    <row r="35" ht="15.75" customHeight="1"/>
    <row r="36" ht="21.75" customHeight="1">
      <c r="B36" s="3" t="s">
        <v>30</v>
      </c>
    </row>
    <row r="37" ht="115.5" customHeight="1">
      <c r="B37" s="2" t="s">
        <v>31</v>
      </c>
    </row>
    <row r="38" ht="15.75" customHeight="1"/>
    <row r="39" ht="21.75" customHeight="1">
      <c r="B39" s="3" t="s">
        <v>32</v>
      </c>
    </row>
    <row r="40" ht="36.0" customHeight="1">
      <c r="B40" s="2" t="s">
        <v>33</v>
      </c>
    </row>
    <row r="41" ht="36.0" customHeight="1">
      <c r="B41" s="2" t="s">
        <v>34</v>
      </c>
    </row>
    <row r="42" ht="36.0" customHeight="1">
      <c r="B42" s="2" t="s">
        <v>35</v>
      </c>
    </row>
    <row r="43" ht="15.75" customHeight="1"/>
    <row r="44" ht="15.75" customHeight="1">
      <c r="B44" s="8" t="s">
        <v>36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CBF"/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2.0"/>
    <col customWidth="1" min="3" max="3" width="22.0"/>
    <col customWidth="1" min="4" max="4" width="14.0"/>
    <col customWidth="1" min="5" max="5" width="22.0"/>
    <col customWidth="1" min="6" max="6" width="24.0"/>
    <col customWidth="1" min="7" max="7" width="22.0"/>
    <col customWidth="1" min="8" max="8" width="14.0"/>
    <col customWidth="1" min="9" max="26" width="8.63"/>
  </cols>
  <sheetData>
    <row r="2" ht="30.0" customHeight="1">
      <c r="B2" s="1" t="s">
        <v>0</v>
      </c>
    </row>
    <row r="3" ht="36.0" customHeight="1">
      <c r="B3" s="2" t="s">
        <v>2</v>
      </c>
    </row>
    <row r="5">
      <c r="B5" s="4" t="s">
        <v>5</v>
      </c>
      <c r="D5" s="4" t="s">
        <v>8</v>
      </c>
    </row>
    <row r="6">
      <c r="B6" s="5" t="s">
        <v>13</v>
      </c>
      <c r="D6" s="7" t="s">
        <v>22</v>
      </c>
      <c r="F6" s="9">
        <f>Planilha2!C21</f>
        <v>0.01079</v>
      </c>
    </row>
    <row r="7">
      <c r="B7" s="10" t="s">
        <v>37</v>
      </c>
      <c r="D7" s="7" t="s">
        <v>38</v>
      </c>
      <c r="F7" s="11">
        <f>Planilha2!C13</f>
        <v>5000</v>
      </c>
    </row>
    <row r="8">
      <c r="B8" s="12" t="s">
        <v>39</v>
      </c>
      <c r="D8" s="7" t="s">
        <v>40</v>
      </c>
      <c r="F8" s="11">
        <f>Planilha2!C15</f>
        <v>1500</v>
      </c>
    </row>
    <row r="10" ht="33.75" customHeight="1">
      <c r="B10" s="13" t="s">
        <v>41</v>
      </c>
      <c r="C10" s="13" t="s">
        <v>42</v>
      </c>
      <c r="D10" s="13" t="s">
        <v>43</v>
      </c>
      <c r="E10" s="13" t="s">
        <v>44</v>
      </c>
      <c r="F10" s="13" t="s">
        <v>45</v>
      </c>
      <c r="G10" s="13" t="s">
        <v>46</v>
      </c>
      <c r="H10" s="13" t="s">
        <v>47</v>
      </c>
    </row>
    <row r="11">
      <c r="B11" s="14" t="s">
        <v>48</v>
      </c>
      <c r="C11" s="15">
        <v>8000.0</v>
      </c>
      <c r="D11" s="16">
        <v>2.0</v>
      </c>
      <c r="E11" s="19">
        <f t="shared" ref="E11:E18" si="1">IF(OR(C11="",D11="",D11&lt;=0),"",-PMT($F$6,D11*12,0,C11))</f>
        <v>293.8192121</v>
      </c>
      <c r="F11" s="19">
        <f t="shared" ref="F11:F18" si="2">IF(E11="","",E11*D11*12)</f>
        <v>7051.66109</v>
      </c>
      <c r="G11" s="19">
        <f t="shared" ref="G11:G18" si="3">IF(E11="","",C11-F11)</f>
        <v>948.3389096</v>
      </c>
      <c r="H11" s="23">
        <f t="shared" ref="H11:H18" si="4">IF(OR(E11="",$F$7&lt;=0),"",E11/$F$7)</f>
        <v>0.05876384242</v>
      </c>
    </row>
    <row r="12">
      <c r="B12" s="14" t="s">
        <v>57</v>
      </c>
      <c r="C12" s="15">
        <v>15000.0</v>
      </c>
      <c r="D12" s="16">
        <v>3.0</v>
      </c>
      <c r="E12" s="19">
        <f t="shared" si="1"/>
        <v>343.1836653</v>
      </c>
      <c r="F12" s="19">
        <f t="shared" si="2"/>
        <v>12354.61195</v>
      </c>
      <c r="G12" s="19">
        <f t="shared" si="3"/>
        <v>2645.38805</v>
      </c>
      <c r="H12" s="23">
        <f t="shared" si="4"/>
        <v>0.06863673305</v>
      </c>
    </row>
    <row r="13">
      <c r="B13" s="14" t="s">
        <v>59</v>
      </c>
      <c r="C13" s="15">
        <v>40000.0</v>
      </c>
      <c r="D13" s="16">
        <v>8.0</v>
      </c>
      <c r="E13" s="19">
        <f t="shared" si="1"/>
        <v>239.5272696</v>
      </c>
      <c r="F13" s="19">
        <f t="shared" si="2"/>
        <v>22994.61788</v>
      </c>
      <c r="G13" s="19">
        <f t="shared" si="3"/>
        <v>17005.38212</v>
      </c>
      <c r="H13" s="23">
        <f t="shared" si="4"/>
        <v>0.04790545392</v>
      </c>
    </row>
    <row r="14">
      <c r="B14" s="14" t="s">
        <v>65</v>
      </c>
      <c r="C14" s="15">
        <v>20000.0</v>
      </c>
      <c r="D14" s="16">
        <v>5.0</v>
      </c>
      <c r="E14" s="19">
        <f t="shared" si="1"/>
        <v>238.7292518</v>
      </c>
      <c r="F14" s="19">
        <f t="shared" si="2"/>
        <v>14323.75511</v>
      </c>
      <c r="G14" s="19">
        <f t="shared" si="3"/>
        <v>5676.24489</v>
      </c>
      <c r="H14" s="23">
        <f t="shared" si="4"/>
        <v>0.04774585037</v>
      </c>
    </row>
    <row r="15">
      <c r="B15" s="14" t="s">
        <v>67</v>
      </c>
      <c r="C15" s="15">
        <v>500000.0</v>
      </c>
      <c r="D15" s="16">
        <v>25.0</v>
      </c>
      <c r="E15" s="19">
        <f t="shared" si="1"/>
        <v>224.6078901</v>
      </c>
      <c r="F15" s="19">
        <f t="shared" si="2"/>
        <v>67382.36703</v>
      </c>
      <c r="G15" s="19">
        <f t="shared" si="3"/>
        <v>432617.633</v>
      </c>
      <c r="H15" s="23">
        <f t="shared" si="4"/>
        <v>0.04492157802</v>
      </c>
    </row>
    <row r="16">
      <c r="B16" s="14"/>
      <c r="C16" s="15"/>
      <c r="D16" s="16"/>
      <c r="E16" s="19" t="str">
        <f t="shared" si="1"/>
        <v/>
      </c>
      <c r="F16" s="19" t="str">
        <f t="shared" si="2"/>
        <v/>
      </c>
      <c r="G16" s="19" t="str">
        <f t="shared" si="3"/>
        <v/>
      </c>
      <c r="H16" s="23" t="str">
        <f t="shared" si="4"/>
        <v/>
      </c>
    </row>
    <row r="17">
      <c r="B17" s="14"/>
      <c r="C17" s="15"/>
      <c r="D17" s="16"/>
      <c r="E17" s="19" t="str">
        <f t="shared" si="1"/>
        <v/>
      </c>
      <c r="F17" s="19" t="str">
        <f t="shared" si="2"/>
        <v/>
      </c>
      <c r="G17" s="19" t="str">
        <f t="shared" si="3"/>
        <v/>
      </c>
      <c r="H17" s="23" t="str">
        <f t="shared" si="4"/>
        <v/>
      </c>
    </row>
    <row r="18">
      <c r="B18" s="14"/>
      <c r="C18" s="15"/>
      <c r="D18" s="16"/>
      <c r="E18" s="19" t="str">
        <f t="shared" si="1"/>
        <v/>
      </c>
      <c r="F18" s="19" t="str">
        <f t="shared" si="2"/>
        <v/>
      </c>
      <c r="G18" s="19" t="str">
        <f t="shared" si="3"/>
        <v/>
      </c>
      <c r="H18" s="23" t="str">
        <f t="shared" si="4"/>
        <v/>
      </c>
    </row>
    <row r="19">
      <c r="B19" s="4" t="s">
        <v>82</v>
      </c>
      <c r="E19" s="42">
        <f>SUM(E11:E18)</f>
        <v>1339.867289</v>
      </c>
      <c r="H19" s="45">
        <f>IF($F$7&gt;0,E19/$F$7,"")</f>
        <v>0.2679734578</v>
      </c>
    </row>
    <row r="20">
      <c r="B20" s="4" t="s">
        <v>89</v>
      </c>
      <c r="E20" s="4" t="str">
        <f>IF(E19&lt;=$F$8,"Sim, suas metas cabem na sugestão.","Passou da sugestão: aumente os prazos ou reduza algum valor.")</f>
        <v>Sim, suas metas cabem na sugestão.</v>
      </c>
    </row>
    <row r="21" ht="15.75" customHeight="1"/>
    <row r="22" ht="15.75" customHeight="1">
      <c r="B22" s="4" t="s">
        <v>90</v>
      </c>
    </row>
    <row r="23" ht="19.5" customHeight="1">
      <c r="B23" s="47" t="s">
        <v>91</v>
      </c>
    </row>
    <row r="24" ht="19.5" customHeight="1">
      <c r="B24" s="47" t="s">
        <v>93</v>
      </c>
    </row>
    <row r="25" ht="19.5" customHeight="1">
      <c r="B25" s="47" t="s">
        <v>94</v>
      </c>
    </row>
    <row r="26" ht="19.5" customHeight="1">
      <c r="B26" s="47" t="s">
        <v>95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H3"/>
    <mergeCell ref="E20:H20"/>
    <mergeCell ref="B23:H23"/>
    <mergeCell ref="B24:H24"/>
    <mergeCell ref="B25:H25"/>
    <mergeCell ref="B26:H26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77DFF"/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52.0"/>
    <col customWidth="1" min="3" max="3" width="22.0"/>
    <col customWidth="1" min="4" max="4" width="24.0"/>
    <col customWidth="1" min="5" max="5" width="26.0"/>
    <col customWidth="1" min="6" max="6" width="3.0"/>
    <col customWidth="1" min="7" max="26" width="8.63"/>
  </cols>
  <sheetData>
    <row r="2" ht="30.0" customHeight="1">
      <c r="B2" s="1" t="s">
        <v>58</v>
      </c>
    </row>
    <row r="3" ht="36.0" customHeight="1">
      <c r="B3" s="2" t="s">
        <v>60</v>
      </c>
    </row>
    <row r="5">
      <c r="B5" s="4" t="s">
        <v>62</v>
      </c>
    </row>
    <row r="6">
      <c r="B6" s="7" t="s">
        <v>63</v>
      </c>
      <c r="C6" s="15">
        <v>500.0</v>
      </c>
    </row>
    <row r="7">
      <c r="B7" s="7" t="s">
        <v>66</v>
      </c>
      <c r="C7" s="29">
        <v>20.0</v>
      </c>
    </row>
    <row r="8">
      <c r="B8" s="7" t="s">
        <v>69</v>
      </c>
      <c r="C8" s="29">
        <v>5.0</v>
      </c>
    </row>
    <row r="9">
      <c r="B9" s="7" t="s">
        <v>71</v>
      </c>
      <c r="C9" s="29">
        <v>24.0</v>
      </c>
    </row>
    <row r="10">
      <c r="B10" s="7" t="s">
        <v>72</v>
      </c>
      <c r="C10" s="15">
        <v>250.0</v>
      </c>
    </row>
    <row r="11">
      <c r="B11" s="7" t="s">
        <v>74</v>
      </c>
      <c r="C11" s="35">
        <f>Planilha2!C21</f>
        <v>0.01079</v>
      </c>
    </row>
    <row r="13">
      <c r="B13" s="4" t="s">
        <v>80</v>
      </c>
    </row>
    <row r="14">
      <c r="B14" s="7" t="s">
        <v>81</v>
      </c>
      <c r="C14" s="41">
        <f>MIN(C8*12,C7*12)</f>
        <v>60</v>
      </c>
    </row>
    <row r="15">
      <c r="B15" s="7" t="s">
        <v>86</v>
      </c>
      <c r="C15" s="41">
        <f>MIN(C9,C7*12-C14)</f>
        <v>24</v>
      </c>
    </row>
    <row r="16">
      <c r="B16" s="7" t="s">
        <v>88</v>
      </c>
      <c r="C16" s="41">
        <f>C7*12-C14-C15</f>
        <v>156</v>
      </c>
    </row>
    <row r="17">
      <c r="B17" s="48" t="str">
        <f>IF(C8*12+C9&gt;C7*12,"Atenção: a pausa passa do horizonte total. Aumente os anos ou reduza a pausa.","")</f>
        <v/>
      </c>
    </row>
    <row r="19" ht="33.75" customHeight="1">
      <c r="B19" s="13" t="s">
        <v>96</v>
      </c>
      <c r="C19" s="13" t="s">
        <v>98</v>
      </c>
      <c r="D19" s="13" t="s">
        <v>100</v>
      </c>
      <c r="E19" s="13" t="s">
        <v>101</v>
      </c>
    </row>
    <row r="20">
      <c r="B20" s="51" t="s">
        <v>102</v>
      </c>
      <c r="C20" s="52">
        <f>FV(C11,C7*12,-C6)</f>
        <v>562599.2</v>
      </c>
      <c r="D20" s="52">
        <f>C6*C7*12</f>
        <v>120000</v>
      </c>
      <c r="E20" s="52">
        <f>C20-C20</f>
        <v>0</v>
      </c>
    </row>
    <row r="21" ht="15.75" customHeight="1">
      <c r="B21" s="51" t="s">
        <v>104</v>
      </c>
      <c r="C21" s="52">
        <f>FV(C11,C14,-C6)*(1+C11)^(C15+C16)+FV(C11,C16,-C6)</f>
        <v>489974.237</v>
      </c>
      <c r="D21" s="52">
        <f>C6*C14+C6*C16</f>
        <v>108000</v>
      </c>
      <c r="E21" s="52">
        <f>C21-C20</f>
        <v>-72624.96303</v>
      </c>
    </row>
    <row r="22" ht="15.75" customHeight="1">
      <c r="B22" s="51" t="s">
        <v>107</v>
      </c>
      <c r="C22" s="52">
        <f>FV(C11,C14,-C6)*(1+C11)^(C15+C16)+FV(C11,C16,-C10)</f>
        <v>389542.0694</v>
      </c>
      <c r="D22" s="52">
        <f>C6*C14+C10*C16</f>
        <v>69000</v>
      </c>
      <c r="E22" s="52">
        <f>C22-C20</f>
        <v>-173057.1306</v>
      </c>
    </row>
    <row r="23" ht="15.75" customHeight="1"/>
    <row r="24" ht="15.75" customHeight="1">
      <c r="B24" s="4" t="s">
        <v>109</v>
      </c>
      <c r="C24" s="54">
        <f>IF(C16&gt;0,-PMT(C11,C16,0,C20-FV(C11,C14,-C6)*(1+C11)^(C15+C16)),"")</f>
        <v>680.7811301</v>
      </c>
    </row>
    <row r="25" ht="15.75" customHeight="1">
      <c r="B25" s="7" t="s">
        <v>111</v>
      </c>
      <c r="C25" s="52">
        <f>IF(C24="","",C24-C6)</f>
        <v>180.7811301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B44" s="4" t="s">
        <v>90</v>
      </c>
    </row>
    <row r="45" ht="36.0" customHeight="1">
      <c r="B45" s="47" t="s">
        <v>113</v>
      </c>
    </row>
    <row r="46" ht="36.0" customHeight="1">
      <c r="B46" s="47" t="s">
        <v>114</v>
      </c>
    </row>
    <row r="47" ht="19.5" customHeight="1">
      <c r="B47" s="47" t="s">
        <v>115</v>
      </c>
    </row>
    <row r="48" ht="19.5" customHeight="1">
      <c r="B48" s="47" t="s">
        <v>95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E3"/>
    <mergeCell ref="B17:E17"/>
    <mergeCell ref="B45:E45"/>
    <mergeCell ref="B46:E46"/>
    <mergeCell ref="B47:E47"/>
    <mergeCell ref="B48:E48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14.0"/>
    <col customWidth="1" min="3" max="3" width="20.63"/>
    <col customWidth="1" min="4" max="6" width="8.63"/>
    <col customWidth="1" min="7" max="7" width="17.38"/>
    <col customWidth="1" min="8" max="26" width="8.63"/>
  </cols>
  <sheetData>
    <row r="2">
      <c r="A2" s="17" t="s">
        <v>49</v>
      </c>
      <c r="B2" s="18" t="s">
        <v>50</v>
      </c>
      <c r="C2" s="18" t="s">
        <v>51</v>
      </c>
      <c r="D2" s="18" t="s">
        <v>52</v>
      </c>
      <c r="H2" s="17" t="s">
        <v>52</v>
      </c>
    </row>
    <row r="3">
      <c r="A3" s="17" t="str">
        <f t="shared" ref="A3:A20" si="1">B3&amp;"-"&amp;C3</f>
        <v>Conservador-PAPEL</v>
      </c>
      <c r="B3" s="17" t="s">
        <v>53</v>
      </c>
      <c r="C3" s="18" t="s">
        <v>54</v>
      </c>
      <c r="D3" s="20">
        <v>0.3</v>
      </c>
      <c r="G3" s="21" t="s">
        <v>55</v>
      </c>
      <c r="H3" s="28">
        <f>VLOOKUP(G3,$A:$D,4,)</f>
        <v>0.35</v>
      </c>
    </row>
    <row r="4">
      <c r="A4" s="17" t="str">
        <f t="shared" si="1"/>
        <v>Conservador-TIJOLO</v>
      </c>
      <c r="B4" s="17" t="s">
        <v>53</v>
      </c>
      <c r="C4" s="18" t="s">
        <v>68</v>
      </c>
      <c r="D4" s="20">
        <v>0.5</v>
      </c>
    </row>
    <row r="5">
      <c r="A5" s="17" t="str">
        <f t="shared" si="1"/>
        <v>Conservador-HIBRIDOS</v>
      </c>
      <c r="B5" s="17" t="s">
        <v>53</v>
      </c>
      <c r="C5" s="18" t="s">
        <v>70</v>
      </c>
      <c r="D5" s="20">
        <v>0.1</v>
      </c>
    </row>
    <row r="6">
      <c r="A6" s="17" t="str">
        <f t="shared" si="1"/>
        <v>Conservador-FOFs</v>
      </c>
      <c r="B6" s="17" t="s">
        <v>53</v>
      </c>
      <c r="C6" s="18" t="s">
        <v>73</v>
      </c>
      <c r="D6" s="20">
        <v>0.1</v>
      </c>
    </row>
    <row r="7">
      <c r="A7" s="17" t="str">
        <f t="shared" si="1"/>
        <v>Conservador-DESENVOLVIMENTO</v>
      </c>
      <c r="B7" s="17" t="s">
        <v>53</v>
      </c>
      <c r="C7" s="18" t="s">
        <v>75</v>
      </c>
      <c r="D7" s="20">
        <v>0.0</v>
      </c>
    </row>
    <row r="8" ht="15.75" customHeight="1">
      <c r="A8" s="30" t="str">
        <f t="shared" si="1"/>
        <v>Conservador-HOTELARIAS</v>
      </c>
      <c r="B8" s="30" t="s">
        <v>53</v>
      </c>
      <c r="C8" s="32" t="s">
        <v>77</v>
      </c>
      <c r="D8" s="33">
        <v>0.0</v>
      </c>
    </row>
    <row r="9">
      <c r="A9" s="17" t="str">
        <f t="shared" si="1"/>
        <v>Moderado-PAPEL</v>
      </c>
      <c r="B9" s="17" t="s">
        <v>78</v>
      </c>
      <c r="C9" s="18" t="s">
        <v>54</v>
      </c>
      <c r="D9" s="20">
        <v>0.32</v>
      </c>
    </row>
    <row r="10">
      <c r="A10" s="17" t="str">
        <f t="shared" si="1"/>
        <v>Moderado-TIJOLO</v>
      </c>
      <c r="B10" s="17" t="s">
        <v>78</v>
      </c>
      <c r="C10" s="18" t="s">
        <v>68</v>
      </c>
      <c r="D10" s="20">
        <v>0.35</v>
      </c>
    </row>
    <row r="11">
      <c r="A11" s="17" t="str">
        <f t="shared" si="1"/>
        <v>Moderado-HIBRIDOS</v>
      </c>
      <c r="B11" s="17" t="s">
        <v>78</v>
      </c>
      <c r="C11" s="18" t="s">
        <v>70</v>
      </c>
      <c r="D11" s="20">
        <v>0.08</v>
      </c>
    </row>
    <row r="12">
      <c r="A12" s="17" t="str">
        <f t="shared" si="1"/>
        <v>Moderado-FOFs</v>
      </c>
      <c r="B12" s="17" t="s">
        <v>78</v>
      </c>
      <c r="C12" s="18" t="s">
        <v>73</v>
      </c>
      <c r="D12" s="20">
        <v>0.05</v>
      </c>
    </row>
    <row r="13">
      <c r="A13" s="17" t="str">
        <f t="shared" si="1"/>
        <v>Moderado-DESENVOLVIMENTO</v>
      </c>
      <c r="B13" s="17" t="s">
        <v>78</v>
      </c>
      <c r="C13" s="18" t="s">
        <v>75</v>
      </c>
      <c r="D13" s="20">
        <v>0.1</v>
      </c>
    </row>
    <row r="14" ht="15.75" customHeight="1">
      <c r="A14" s="30" t="str">
        <f t="shared" si="1"/>
        <v>Moderado-HOTELARIAS</v>
      </c>
      <c r="B14" s="30" t="s">
        <v>78</v>
      </c>
      <c r="C14" s="32" t="s">
        <v>77</v>
      </c>
      <c r="D14" s="33">
        <v>0.1</v>
      </c>
    </row>
    <row r="15">
      <c r="A15" s="17" t="str">
        <f t="shared" si="1"/>
        <v>Agressivo-PAPEL</v>
      </c>
      <c r="B15" s="17" t="s">
        <v>84</v>
      </c>
      <c r="C15" s="18" t="s">
        <v>54</v>
      </c>
      <c r="D15" s="38">
        <v>0.6</v>
      </c>
    </row>
    <row r="16">
      <c r="A16" s="17" t="str">
        <f t="shared" si="1"/>
        <v>Agressivo-TIJOLO</v>
      </c>
      <c r="B16" s="17" t="s">
        <v>84</v>
      </c>
      <c r="C16" s="18" t="s">
        <v>68</v>
      </c>
      <c r="D16" s="20">
        <v>0.1</v>
      </c>
    </row>
    <row r="17">
      <c r="A17" s="17" t="str">
        <f t="shared" si="1"/>
        <v>Agressivo-HIBRIDOS</v>
      </c>
      <c r="B17" s="17" t="s">
        <v>84</v>
      </c>
      <c r="C17" s="18" t="s">
        <v>70</v>
      </c>
      <c r="D17" s="20">
        <v>0.05</v>
      </c>
    </row>
    <row r="18">
      <c r="A18" s="17" t="str">
        <f t="shared" si="1"/>
        <v>Agressivo-FOFs</v>
      </c>
      <c r="B18" s="17" t="s">
        <v>84</v>
      </c>
      <c r="C18" s="18" t="s">
        <v>73</v>
      </c>
      <c r="D18" s="20">
        <v>0.05</v>
      </c>
    </row>
    <row r="19">
      <c r="A19" s="17" t="str">
        <f t="shared" si="1"/>
        <v>Agressivo-DESENVOLVIMENTO</v>
      </c>
      <c r="B19" s="17" t="s">
        <v>84</v>
      </c>
      <c r="C19" s="18" t="s">
        <v>75</v>
      </c>
      <c r="D19" s="38">
        <v>0.1</v>
      </c>
    </row>
    <row r="20">
      <c r="A20" s="17" t="str">
        <f t="shared" si="1"/>
        <v>Agressivo-HOTELARIAS</v>
      </c>
      <c r="B20" s="17" t="s">
        <v>84</v>
      </c>
      <c r="C20" s="18" t="s">
        <v>77</v>
      </c>
      <c r="D20" s="20">
        <v>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2026-09-26T21:56:24Z</dcterms:created>
  <dc:creator>Ester Correa Ester</dc:creator>
</cp:coreProperties>
</file>